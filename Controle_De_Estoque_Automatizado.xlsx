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B79DD166-5435-4E6F-8383-3FE75B665DC1}" xr6:coauthVersionLast="47" xr6:coauthVersionMax="47" xr10:uidLastSave="{00000000-0000-0000-0000-000000000000}"/>
  <bookViews>
    <workbookView xWindow="-108" yWindow="-108" windowWidth="23256" windowHeight="12456" xr2:uid="{7E8AA7FB-0536-4A1E-A5AA-0BD14B5C9340}"/>
  </bookViews>
  <sheets>
    <sheet name="Início" sheetId="2" r:id="rId1"/>
    <sheet name="Cadastro" sheetId="5" r:id="rId2"/>
    <sheet name="Lançamentos" sheetId="4" r:id="rId3"/>
  </sheets>
  <definedNames>
    <definedName name="ColunaProdutos">tbCadastro[PRODUTO]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4" l="1"/>
  <c r="E16" i="4"/>
  <c r="E15" i="4"/>
  <c r="E14" i="4"/>
  <c r="E13" i="4"/>
  <c r="E12" i="4"/>
  <c r="E9" i="5"/>
  <c r="F9" i="5" s="1"/>
  <c r="E11" i="4"/>
  <c r="E10" i="4"/>
  <c r="E9" i="4"/>
  <c r="E8" i="5"/>
  <c r="F8" i="5" s="1"/>
  <c r="E8" i="4"/>
  <c r="E7" i="5"/>
  <c r="F7" i="5" s="1"/>
  <c r="E4" i="4"/>
  <c r="E5" i="4"/>
  <c r="E6" i="4"/>
  <c r="E7" i="4"/>
  <c r="E4" i="5"/>
  <c r="F4" i="5" s="1"/>
  <c r="E5" i="5"/>
  <c r="F5" i="5" s="1"/>
  <c r="E6" i="5"/>
  <c r="F6" i="5" s="1"/>
  <c r="D18" i="4"/>
  <c r="C18" i="4"/>
  <c r="B18" i="4"/>
  <c r="E18" i="4" l="1"/>
</calcChain>
</file>

<file path=xl/sharedStrings.xml><?xml version="1.0" encoding="utf-8"?>
<sst xmlns="http://schemas.openxmlformats.org/spreadsheetml/2006/main" count="37" uniqueCount="17">
  <si>
    <t>PRODUTO</t>
  </si>
  <si>
    <t>MEDIDA</t>
  </si>
  <si>
    <t>ESTOQUE
MÁXIMO</t>
  </si>
  <si>
    <t>ESTOQUE
MÍNIMO</t>
  </si>
  <si>
    <t>SALDO</t>
  </si>
  <si>
    <t>AVISOS</t>
  </si>
  <si>
    <t>Caneta esferográfica azul</t>
  </si>
  <si>
    <t>Unidade</t>
  </si>
  <si>
    <t>Caneta esferográfica preta</t>
  </si>
  <si>
    <t>DATA</t>
  </si>
  <si>
    <t>ENTRADA</t>
  </si>
  <si>
    <t>SAÍDA</t>
  </si>
  <si>
    <t>Total</t>
  </si>
  <si>
    <t>Caneta esferográfica vermelha</t>
  </si>
  <si>
    <t xml:space="preserve">Caderno capa dura azul 100 folhas </t>
  </si>
  <si>
    <t>Caderno capa dura preto 100 folhas</t>
  </si>
  <si>
    <t>Caderno capa dura vermelho 50 folhas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</si>
</sst>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top"/>
    </xf>
    <xf numFmtId="14" fontId="0" fillId="0" borderId="0" xfId="0" applyNumberFormat="1"/>
    <xf numFmtId="0" fontId="1" fillId="3" borderId="0" xfId="0" applyFont="1" applyFill="1"/>
    <xf numFmtId="14" fontId="0" fillId="2" borderId="0" xfId="0" applyNumberFormat="1" applyFill="1"/>
    <xf numFmtId="14" fontId="1" fillId="3" borderId="0" xfId="0" applyNumberFormat="1" applyFont="1" applyFill="1"/>
    <xf numFmtId="1" fontId="0" fillId="2" borderId="0" xfId="0" applyNumberFormat="1" applyFill="1"/>
    <xf numFmtId="1" fontId="0" fillId="0" borderId="0" xfId="0" applyNumberFormat="1"/>
    <xf numFmtId="1" fontId="2" fillId="3" borderId="0" xfId="0" applyNumberFormat="1" applyFont="1" applyFill="1"/>
    <xf numFmtId="1" fontId="3" fillId="3" borderId="0" xfId="0" applyNumberFormat="1" applyFont="1" applyFill="1"/>
    <xf numFmtId="1" fontId="1" fillId="3" borderId="0" xfId="0" applyNumberFormat="1" applyFont="1" applyFill="1"/>
    <xf numFmtId="1" fontId="0" fillId="3" borderId="0" xfId="0" applyNumberFormat="1" applyFill="1"/>
    <xf numFmtId="1" fontId="1" fillId="3" borderId="0" xfId="0" applyNumberFormat="1" applyFont="1" applyFill="1" applyAlignment="1">
      <alignment vertical="top" wrapText="1"/>
    </xf>
    <xf numFmtId="1" fontId="1" fillId="3" borderId="0" xfId="0" applyNumberFormat="1" applyFont="1" applyFill="1" applyAlignment="1">
      <alignment vertical="top"/>
    </xf>
    <xf numFmtId="0" fontId="0" fillId="3" borderId="0" xfId="0" applyNumberFormat="1" applyFill="1"/>
  </cellXfs>
  <cellStyles count="1">
    <cellStyle name="Normal" xfId="0" builtinId="0"/>
  </cellStyles>
  <dxfs count="26"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7" tint="0.39994506668294322"/>
      </font>
      <fill>
        <patternFill>
          <bgColor theme="1" tint="0.14996795556505021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7" tint="0.39994506668294322"/>
      </font>
      <fill>
        <patternFill>
          <bgColor theme="1" tint="0.14996795556505021"/>
        </patternFill>
      </fill>
    </dxf>
    <dxf>
      <numFmt numFmtId="1" formatCode="0"/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2" tint="-0.749992370372631"/>
        <name val="Calibri"/>
        <family val="2"/>
        <scheme val="minor"/>
      </font>
      <fill>
        <patternFill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1" formatCode="0"/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16612851451122"/>
          <c:y val="2.0021244250409288E-2"/>
          <c:w val="0.63639466379652199"/>
          <c:h val="0.87583027987838169"/>
        </c:manualLayout>
      </c:layout>
      <c:doughnutChart>
        <c:varyColors val="1"/>
        <c:ser>
          <c:idx val="0"/>
          <c:order val="0"/>
          <c:tx>
            <c:strRef>
              <c:f>Cadastro!$E$3</c:f>
              <c:strCache>
                <c:ptCount val="1"/>
                <c:pt idx="0">
                  <c:v>SALDO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06-4BA3-98C5-9D9C773A95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06-4BA3-98C5-9D9C773A95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06-4BA3-98C5-9D9C773A9501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Cadastro!$A$4:$A$9</c:f>
              <c:strCache>
                <c:ptCount val="3"/>
                <c:pt idx="0">
                  <c:v>Caneta esferográfica azul</c:v>
                </c:pt>
                <c:pt idx="1">
                  <c:v>Caneta esferográfica preta</c:v>
                </c:pt>
                <c:pt idx="2">
                  <c:v>Caneta esferográfica vermelha</c:v>
                </c:pt>
              </c:strCache>
            </c:strRef>
          </c:cat>
          <c:val>
            <c:numRef>
              <c:f>Cadastro!$E$4:$E$9</c:f>
              <c:numCache>
                <c:formatCode>0</c:formatCode>
                <c:ptCount val="3"/>
                <c:pt idx="0">
                  <c:v>30</c:v>
                </c:pt>
                <c:pt idx="1">
                  <c:v>37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E-454C-BC0A-119BF26A4E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G1"/><Relationship Id="rId1" Type="http://schemas.openxmlformats.org/officeDocument/2006/relationships/hyperlink" Target="#Cadastro!G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Lan&#231;amentos!G1"/><Relationship Id="rId1" Type="http://schemas.openxmlformats.org/officeDocument/2006/relationships/hyperlink" Target="#In&#237;cio!G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0</xdr:row>
      <xdr:rowOff>167640</xdr:rowOff>
    </xdr:from>
    <xdr:to>
      <xdr:col>0</xdr:col>
      <xdr:colOff>2301240</xdr:colOff>
      <xdr:row>1</xdr:row>
      <xdr:rowOff>38100</xdr:rowOff>
    </xdr:to>
    <xdr:sp macro="" textlink="">
      <xdr:nvSpPr>
        <xdr:cNvPr id="2" name="Retângulo: Cantos Superiores Recortados 1">
          <a:extLst>
            <a:ext uri="{FF2B5EF4-FFF2-40B4-BE49-F238E27FC236}">
              <a16:creationId xmlns:a16="http://schemas.microsoft.com/office/drawing/2014/main" id="{17280ACE-FBF0-462E-825F-C5B80A69CE6A}"/>
            </a:ext>
          </a:extLst>
        </xdr:cNvPr>
        <xdr:cNvSpPr/>
      </xdr:nvSpPr>
      <xdr:spPr>
        <a:xfrm>
          <a:off x="66294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2411730</xdr:colOff>
      <xdr:row>0</xdr:row>
      <xdr:rowOff>167640</xdr:rowOff>
    </xdr:from>
    <xdr:to>
      <xdr:col>2</xdr:col>
      <xdr:colOff>171450</xdr:colOff>
      <xdr:row>1</xdr:row>
      <xdr:rowOff>38100</xdr:rowOff>
    </xdr:to>
    <xdr:sp macro="" textlink="">
      <xdr:nvSpPr>
        <xdr:cNvPr id="3" name="Retângulo: Cantos Superiores Recort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917CB-965E-4EB8-83A4-CB4B8F9C5862}"/>
            </a:ext>
          </a:extLst>
        </xdr:cNvPr>
        <xdr:cNvSpPr/>
      </xdr:nvSpPr>
      <xdr:spPr>
        <a:xfrm>
          <a:off x="241173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281940</xdr:colOff>
      <xdr:row>0</xdr:row>
      <xdr:rowOff>167640</xdr:rowOff>
    </xdr:from>
    <xdr:to>
      <xdr:col>3</xdr:col>
      <xdr:colOff>838200</xdr:colOff>
      <xdr:row>1</xdr:row>
      <xdr:rowOff>38100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70DD88-184D-46AD-AAF0-05AB98E0C474}"/>
            </a:ext>
          </a:extLst>
        </xdr:cNvPr>
        <xdr:cNvSpPr/>
      </xdr:nvSpPr>
      <xdr:spPr>
        <a:xfrm>
          <a:off x="416052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228600</xdr:colOff>
      <xdr:row>5</xdr:row>
      <xdr:rowOff>7620</xdr:rowOff>
    </xdr:from>
    <xdr:to>
      <xdr:col>5</xdr:col>
      <xdr:colOff>1013460</xdr:colOff>
      <xdr:row>11</xdr:row>
      <xdr:rowOff>114300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B8BCCDB-5F25-788B-CE64-C968AABD6F30}"/>
            </a:ext>
          </a:extLst>
        </xdr:cNvPr>
        <xdr:cNvSpPr txBox="1"/>
      </xdr:nvSpPr>
      <xdr:spPr>
        <a:xfrm>
          <a:off x="5189220" y="1242060"/>
          <a:ext cx="2948940" cy="12039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CONTROLE</a:t>
          </a:r>
          <a:r>
            <a:rPr lang="pt-BR" sz="2000" b="1" baseline="0"/>
            <a:t> DE ESTOQUES SIMPLIFICADO</a:t>
          </a:r>
          <a:endParaRPr lang="pt-BR" sz="2000" b="1"/>
        </a:p>
      </xdr:txBody>
    </xdr:sp>
    <xdr:clientData/>
  </xdr:twoCellAnchor>
  <xdr:twoCellAnchor>
    <xdr:from>
      <xdr:col>1</xdr:col>
      <xdr:colOff>548640</xdr:colOff>
      <xdr:row>14</xdr:row>
      <xdr:rowOff>91440</xdr:rowOff>
    </xdr:from>
    <xdr:to>
      <xdr:col>6</xdr:col>
      <xdr:colOff>1775460</xdr:colOff>
      <xdr:row>23</xdr:row>
      <xdr:rowOff>175260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639D32C-0489-0F5C-3B1C-4CCBF8048A78}"/>
            </a:ext>
          </a:extLst>
        </xdr:cNvPr>
        <xdr:cNvSpPr txBox="1"/>
      </xdr:nvSpPr>
      <xdr:spPr>
        <a:xfrm>
          <a:off x="3345180" y="2971800"/>
          <a:ext cx="6637020" cy="1729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ORIENTAÇÕES</a:t>
          </a:r>
        </a:p>
        <a:p>
          <a:endParaRPr lang="pt-BR" sz="1100"/>
        </a:p>
        <a:p>
          <a:pPr algn="ctr"/>
          <a:r>
            <a:rPr lang="pt-BR" sz="1200"/>
            <a:t>1. Cadastrar o produto na aba "Cadastro".</a:t>
          </a:r>
        </a:p>
        <a:p>
          <a:pPr algn="ctr"/>
          <a:r>
            <a:rPr lang="pt-BR" sz="1200"/>
            <a:t>2. Registrar as entradas e saídas na aba "Lançamentos". </a:t>
          </a:r>
        </a:p>
        <a:p>
          <a:pPr algn="ctr"/>
          <a:r>
            <a:rPr lang="pt-BR" sz="1200"/>
            <a:t>3. Relatórios e consultas usar os filtros nas abas "Cadastro" e "Lançamentos".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0</xdr:row>
      <xdr:rowOff>167640</xdr:rowOff>
    </xdr:from>
    <xdr:to>
      <xdr:col>0</xdr:col>
      <xdr:colOff>2301240</xdr:colOff>
      <xdr:row>1</xdr:row>
      <xdr:rowOff>38100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83D428-5CBB-44E3-9D7A-03AFCBBF28DF}"/>
            </a:ext>
          </a:extLst>
        </xdr:cNvPr>
        <xdr:cNvSpPr/>
      </xdr:nvSpPr>
      <xdr:spPr>
        <a:xfrm>
          <a:off x="66294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2411730</xdr:colOff>
      <xdr:row>0</xdr:row>
      <xdr:rowOff>167640</xdr:rowOff>
    </xdr:from>
    <xdr:to>
      <xdr:col>2</xdr:col>
      <xdr:colOff>171450</xdr:colOff>
      <xdr:row>1</xdr:row>
      <xdr:rowOff>38100</xdr:rowOff>
    </xdr:to>
    <xdr:sp macro="" textlink="">
      <xdr:nvSpPr>
        <xdr:cNvPr id="3" name="Retângulo: Cantos Superiores Recortados 2">
          <a:extLst>
            <a:ext uri="{FF2B5EF4-FFF2-40B4-BE49-F238E27FC236}">
              <a16:creationId xmlns:a16="http://schemas.microsoft.com/office/drawing/2014/main" id="{E8B3995B-1952-4458-8D1F-D6B7DC7FAF69}"/>
            </a:ext>
          </a:extLst>
        </xdr:cNvPr>
        <xdr:cNvSpPr/>
      </xdr:nvSpPr>
      <xdr:spPr>
        <a:xfrm>
          <a:off x="241173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281940</xdr:colOff>
      <xdr:row>0</xdr:row>
      <xdr:rowOff>167640</xdr:rowOff>
    </xdr:from>
    <xdr:to>
      <xdr:col>3</xdr:col>
      <xdr:colOff>838200</xdr:colOff>
      <xdr:row>1</xdr:row>
      <xdr:rowOff>38100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AD7F5E-AF92-418E-85C1-5805E634FE08}"/>
            </a:ext>
          </a:extLst>
        </xdr:cNvPr>
        <xdr:cNvSpPr/>
      </xdr:nvSpPr>
      <xdr:spPr>
        <a:xfrm>
          <a:off x="416052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213360</xdr:colOff>
      <xdr:row>3</xdr:row>
      <xdr:rowOff>114300</xdr:rowOff>
    </xdr:from>
    <xdr:to>
      <xdr:col>6</xdr:col>
      <xdr:colOff>4434840</xdr:colOff>
      <xdr:row>22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2D2354F-B3F7-24E7-D7AA-5417A4D3F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99060</xdr:colOff>
      <xdr:row>2</xdr:row>
      <xdr:rowOff>7620</xdr:rowOff>
    </xdr:from>
    <xdr:ext cx="4465320" cy="37124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0563DFC-5B69-B620-FBA8-180D1E6B8452}"/>
            </a:ext>
          </a:extLst>
        </xdr:cNvPr>
        <xdr:cNvSpPr txBox="1"/>
      </xdr:nvSpPr>
      <xdr:spPr>
        <a:xfrm>
          <a:off x="8564880" y="693420"/>
          <a:ext cx="4465320" cy="37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/>
            <a:t>COMPOSIÇÃO</a:t>
          </a:r>
          <a:r>
            <a:rPr lang="pt-BR" sz="1400" b="1" baseline="0"/>
            <a:t> DO SALDO ATUAL DO ESTOQUE</a:t>
          </a:r>
          <a:endParaRPr lang="pt-BR" sz="14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0</xdr:row>
      <xdr:rowOff>167640</xdr:rowOff>
    </xdr:from>
    <xdr:to>
      <xdr:col>0</xdr:col>
      <xdr:colOff>2301240</xdr:colOff>
      <xdr:row>1</xdr:row>
      <xdr:rowOff>38100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06B57-090C-44A3-920E-CF22F58B1CE9}"/>
            </a:ext>
          </a:extLst>
        </xdr:cNvPr>
        <xdr:cNvSpPr/>
      </xdr:nvSpPr>
      <xdr:spPr>
        <a:xfrm>
          <a:off x="66294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2411730</xdr:colOff>
      <xdr:row>0</xdr:row>
      <xdr:rowOff>167640</xdr:rowOff>
    </xdr:from>
    <xdr:to>
      <xdr:col>2</xdr:col>
      <xdr:colOff>171450</xdr:colOff>
      <xdr:row>1</xdr:row>
      <xdr:rowOff>38100</xdr:rowOff>
    </xdr:to>
    <xdr:sp macro="" textlink="">
      <xdr:nvSpPr>
        <xdr:cNvPr id="3" name="Retângulo: Cantos Superiores Recort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D31E69-2BA5-49B0-BD3E-D2B3071170F1}"/>
            </a:ext>
          </a:extLst>
        </xdr:cNvPr>
        <xdr:cNvSpPr/>
      </xdr:nvSpPr>
      <xdr:spPr>
        <a:xfrm>
          <a:off x="241173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281940</xdr:colOff>
      <xdr:row>0</xdr:row>
      <xdr:rowOff>167640</xdr:rowOff>
    </xdr:from>
    <xdr:to>
      <xdr:col>3</xdr:col>
      <xdr:colOff>838200</xdr:colOff>
      <xdr:row>1</xdr:row>
      <xdr:rowOff>38100</xdr:rowOff>
    </xdr:to>
    <xdr:sp macro="" textlink="">
      <xdr:nvSpPr>
        <xdr:cNvPr id="4" name="Retângulo: Cantos Superiores Recortados 3">
          <a:extLst>
            <a:ext uri="{FF2B5EF4-FFF2-40B4-BE49-F238E27FC236}">
              <a16:creationId xmlns:a16="http://schemas.microsoft.com/office/drawing/2014/main" id="{87C1844A-442C-442E-BAE2-7F641134339D}"/>
            </a:ext>
          </a:extLst>
        </xdr:cNvPr>
        <xdr:cNvSpPr/>
      </xdr:nvSpPr>
      <xdr:spPr>
        <a:xfrm>
          <a:off x="4160520" y="167640"/>
          <a:ext cx="1638300" cy="37338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0FFBB-A932-489A-9844-B1BAF948770A}" name="tbCadastro" displayName="tbCadastro" ref="A3:F9" totalsRowShown="0" headerRowDxfId="25">
  <autoFilter ref="A3:F9" xr:uid="{A850FFBB-A932-489A-9844-B1BAF948770A}">
    <filterColumn colId="0">
      <filters>
        <filter val="Caneta esferográfica azul"/>
        <filter val="Caneta esferográfica preta"/>
        <filter val="Caneta esferográfica vermelha"/>
      </filters>
    </filterColumn>
  </autoFilter>
  <tableColumns count="6">
    <tableColumn id="1" xr3:uid="{C9A8F764-4658-4A35-BCE8-03E267232580}" name="PRODUTO"/>
    <tableColumn id="2" xr3:uid="{2097E498-54C4-4D68-A820-5D2737052A9E}" name="MEDIDA"/>
    <tableColumn id="3" xr3:uid="{8A5922FF-DF92-45E8-B07F-0C2A46F6E01B}" name="ESTOQUE_x000a_MÍNIMO" dataDxfId="24"/>
    <tableColumn id="4" xr3:uid="{3CDDC8DD-F044-4D48-852A-D63ED440EBD6}" name="ESTOQUE_x000a_MÁXIMO" dataDxfId="23"/>
    <tableColumn id="5" xr3:uid="{B48CB72F-7DFA-45B1-A157-C71E29C2D6BE}" name="SALDO" dataDxfId="22">
      <calculatedColumnFormula>SUMIF(tbLancamentos[PRODUTO],tbCadastro[[#This Row],[PRODUTO]],tbLancamentos[ENTRADA])-SUMIF(tbLancamentos[PRODUTO],tbCadastro[[#This Row],[PRODUTO]],tbLancamentos[SAÍDA])</calculatedColumnFormula>
    </tableColumn>
    <tableColumn id="6" xr3:uid="{E9057A5D-4C0D-49E0-95DB-8F47302873C2}" name="AVISOS" dataDxfId="21">
      <calculatedColumnFormula>IF(tbCadastro[[#This Row],[SALDO]]&lt;tbCadastro[[#This Row],[ESTOQUE
MÍNIMO]],"Solicitar nova compra!",IF(tbCadastro[[#This Row],[SALDO]]&gt;tbCadastro[[#This Row],[ESTOQUE
MÁXIMO]],"Priorizar venda!",""))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1164B-4146-45E1-BC5A-5BCD0A02EB64}" name="tbLancamentos" displayName="tbLancamentos" ref="A3:E18" totalsRowCount="1" headerRowDxfId="20">
  <autoFilter ref="A3:E17" xr:uid="{63E1164B-4146-45E1-BC5A-5BCD0A02EB64}"/>
  <tableColumns count="5">
    <tableColumn id="1" xr3:uid="{B1C457AB-1811-4C40-9EAB-94479C7E3805}" name="PRODUTO" totalsRowLabel="Total"/>
    <tableColumn id="2" xr3:uid="{FD9466D4-6EDF-460C-B979-18B7EADE4911}" name="DATA" totalsRowFunction="count" dataDxfId="19"/>
    <tableColumn id="3" xr3:uid="{45B5098A-8E23-488E-BE88-46713D618957}" name="ENTRADA" totalsRowFunction="sum" dataDxfId="18" totalsRowDxfId="6"/>
    <tableColumn id="4" xr3:uid="{5DBA41E8-3C77-40DF-9487-1BD575D198C6}" name="SAÍDA" totalsRowFunction="sum" dataDxfId="17" totalsRowDxfId="5"/>
    <tableColumn id="5" xr3:uid="{EFE92B87-7822-43F5-900E-A7FCCFB3E138}" name="SALDO" totalsRowFunction="count" dataDxfId="16" totalsRowDxfId="4">
      <calculatedColumnFormula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5E3E-B3B3-4744-BB44-FB5FF9E73297}">
  <dimension ref="A1:G32"/>
  <sheetViews>
    <sheetView showGridLines="0" tabSelected="1" workbookViewId="0">
      <selection activeCell="G1" sqref="G1"/>
    </sheetView>
  </sheetViews>
  <sheetFormatPr defaultColWidth="0" defaultRowHeight="14.4" x14ac:dyDescent="0.3"/>
  <cols>
    <col min="1" max="1" width="40.77734375" customWidth="1"/>
    <col min="2" max="6" width="15.77734375" customWidth="1"/>
    <col min="7" max="7" width="80.77734375" customWidth="1"/>
    <col min="16384" max="16384" width="0" hidden="1" customWidth="1"/>
  </cols>
  <sheetData>
    <row r="1" spans="1:7" s="1" customFormat="1" ht="40.049999999999997" customHeight="1" x14ac:dyDescent="0.3">
      <c r="A1" s="2"/>
      <c r="B1" s="2"/>
      <c r="C1" s="2"/>
      <c r="D1" s="2"/>
      <c r="E1" s="2"/>
      <c r="F1" s="2"/>
      <c r="G1" s="2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56AF-92AE-4F32-BEDC-D5F8DE08D486}">
  <dimension ref="A1:G9"/>
  <sheetViews>
    <sheetView showGridLines="0" workbookViewId="0">
      <selection activeCell="F6" sqref="F6"/>
    </sheetView>
  </sheetViews>
  <sheetFormatPr defaultColWidth="0" defaultRowHeight="14.4" x14ac:dyDescent="0.3"/>
  <cols>
    <col min="1" max="1" width="40.77734375" customWidth="1"/>
    <col min="2" max="2" width="15.77734375" customWidth="1"/>
    <col min="3" max="5" width="15.77734375" style="10" customWidth="1"/>
    <col min="6" max="6" width="19.5546875" bestFit="1" customWidth="1"/>
    <col min="7" max="7" width="80.77734375" customWidth="1"/>
    <col min="16384" max="16384" width="0" hidden="1" customWidth="1"/>
  </cols>
  <sheetData>
    <row r="1" spans="1:7" s="1" customFormat="1" ht="40.049999999999997" customHeight="1" x14ac:dyDescent="0.3">
      <c r="A1" s="2"/>
      <c r="B1" s="2"/>
      <c r="C1" s="9"/>
      <c r="D1" s="9"/>
      <c r="E1" s="9"/>
      <c r="F1" s="2"/>
      <c r="G1" s="2"/>
    </row>
    <row r="3" spans="1:7" ht="28.8" x14ac:dyDescent="0.3">
      <c r="A3" s="4" t="s">
        <v>0</v>
      </c>
      <c r="B3" s="4" t="s">
        <v>1</v>
      </c>
      <c r="C3" s="15" t="s">
        <v>3</v>
      </c>
      <c r="D3" s="15" t="s">
        <v>2</v>
      </c>
      <c r="E3" s="16" t="s">
        <v>4</v>
      </c>
      <c r="F3" s="4" t="s">
        <v>5</v>
      </c>
    </row>
    <row r="4" spans="1:7" x14ac:dyDescent="0.3">
      <c r="A4" t="s">
        <v>6</v>
      </c>
      <c r="B4" t="s">
        <v>7</v>
      </c>
      <c r="C4" s="10">
        <v>15</v>
      </c>
      <c r="D4" s="10">
        <v>150</v>
      </c>
      <c r="E4" s="14">
        <f>SUMIF(tbLancamentos[PRODUTO],tbCadastro[[#This Row],[PRODUTO]],tbLancamentos[ENTRADA])-SUMIF(tbLancamentos[PRODUTO],tbCadastro[[#This Row],[PRODUTO]],tbLancamentos[SAÍDA])</f>
        <v>30</v>
      </c>
      <c r="F4" s="3" t="str">
        <f>IF(tbCadastro[[#This Row],[SALDO]]&lt;tbCadastro[[#This Row],[ESTOQUE
MÍNIMO]],"Solicitar nova compra!",IF(tbCadastro[[#This Row],[SALDO]]&gt;tbCadastro[[#This Row],[ESTOQUE
MÁXIMO]],"Priorizar venda!",""))</f>
        <v/>
      </c>
    </row>
    <row r="5" spans="1:7" x14ac:dyDescent="0.3">
      <c r="A5" t="s">
        <v>8</v>
      </c>
      <c r="B5" t="s">
        <v>7</v>
      </c>
      <c r="C5" s="10">
        <v>15</v>
      </c>
      <c r="D5" s="10">
        <v>30</v>
      </c>
      <c r="E5" s="14">
        <f>SUMIF(tbLancamentos[PRODUTO],tbCadastro[[#This Row],[PRODUTO]],tbLancamentos[ENTRADA])-SUMIF(tbLancamentos[PRODUTO],tbCadastro[[#This Row],[PRODUTO]],tbLancamentos[SAÍDA])</f>
        <v>37</v>
      </c>
      <c r="F5" s="3" t="str">
        <f>IF(tbCadastro[[#This Row],[SALDO]]&lt;tbCadastro[[#This Row],[ESTOQUE
MÍNIMO]],"Solicitar nova compra!",IF(tbCadastro[[#This Row],[SALDO]]&gt;tbCadastro[[#This Row],[ESTOQUE
MÁXIMO]],"Priorizar venda!",""))</f>
        <v>Priorizar venda!</v>
      </c>
    </row>
    <row r="6" spans="1:7" x14ac:dyDescent="0.3">
      <c r="A6" t="s">
        <v>13</v>
      </c>
      <c r="B6" t="s">
        <v>7</v>
      </c>
      <c r="C6" s="10">
        <v>15</v>
      </c>
      <c r="D6" s="10">
        <v>20</v>
      </c>
      <c r="E6" s="14">
        <f>SUMIF(tbLancamentos[PRODUTO],tbCadastro[[#This Row],[PRODUTO]],tbLancamentos[ENTRADA])-SUMIF(tbLancamentos[PRODUTO],tbCadastro[[#This Row],[PRODUTO]],tbLancamentos[SAÍDA])</f>
        <v>61</v>
      </c>
      <c r="F6" s="3" t="str">
        <f>IF(tbCadastro[[#This Row],[SALDO]]&lt;tbCadastro[[#This Row],[ESTOQUE
MÍNIMO]],"Solicitar nova compra!",IF(tbCadastro[[#This Row],[SALDO]]&gt;tbCadastro[[#This Row],[ESTOQUE
MÁXIMO]],"Priorizar venda!",""))</f>
        <v>Priorizar venda!</v>
      </c>
    </row>
    <row r="7" spans="1:7" hidden="1" x14ac:dyDescent="0.3">
      <c r="A7" t="s">
        <v>15</v>
      </c>
      <c r="B7" t="s">
        <v>7</v>
      </c>
      <c r="C7" s="10">
        <v>20</v>
      </c>
      <c r="D7" s="10">
        <v>200</v>
      </c>
      <c r="E7" s="14">
        <f>SUMIF(tbLancamentos[PRODUTO],tbCadastro[[#This Row],[PRODUTO]],tbLancamentos[ENTRADA])-SUMIF(tbLancamentos[PRODUTO],tbCadastro[[#This Row],[PRODUTO]],tbLancamentos[SAÍDA])</f>
        <v>150</v>
      </c>
      <c r="F7" s="17" t="str">
        <f>IF(tbCadastro[[#This Row],[SALDO]]&lt;tbCadastro[[#This Row],[ESTOQUE
MÍNIMO]],"Solicitar nova compra!",IF(tbCadastro[[#This Row],[SALDO]]&gt;tbCadastro[[#This Row],[ESTOQUE
MÁXIMO]],"Priorizar venda!",""))</f>
        <v/>
      </c>
    </row>
    <row r="8" spans="1:7" hidden="1" x14ac:dyDescent="0.3">
      <c r="A8" t="s">
        <v>14</v>
      </c>
      <c r="B8" t="s">
        <v>7</v>
      </c>
      <c r="C8" s="10">
        <v>20</v>
      </c>
      <c r="D8" s="10">
        <v>150</v>
      </c>
      <c r="E8" s="14">
        <f>SUMIF(tbLancamentos[PRODUTO],tbCadastro[[#This Row],[PRODUTO]],tbLancamentos[ENTRADA])-SUMIF(tbLancamentos[PRODUTO],tbCadastro[[#This Row],[PRODUTO]],tbLancamentos[SAÍDA])</f>
        <v>100</v>
      </c>
      <c r="F8" s="17" t="str">
        <f>IF(tbCadastro[[#This Row],[SALDO]]&lt;tbCadastro[[#This Row],[ESTOQUE
MÍNIMO]],"Solicitar nova compra!",IF(tbCadastro[[#This Row],[SALDO]]&gt;tbCadastro[[#This Row],[ESTOQUE
MÁXIMO]],"Priorizar venda!",""))</f>
        <v/>
      </c>
    </row>
    <row r="9" spans="1:7" hidden="1" x14ac:dyDescent="0.3">
      <c r="A9" t="s">
        <v>16</v>
      </c>
      <c r="B9" t="s">
        <v>7</v>
      </c>
      <c r="C9" s="10">
        <v>50</v>
      </c>
      <c r="D9" s="10">
        <v>100</v>
      </c>
      <c r="E9" s="14">
        <f>SUMIF(tbLancamentos[PRODUTO],tbCadastro[[#This Row],[PRODUTO]],tbLancamentos[ENTRADA])-SUMIF(tbLancamentos[PRODUTO],tbCadastro[[#This Row],[PRODUTO]],tbLancamentos[SAÍDA])</f>
        <v>25</v>
      </c>
      <c r="F9" s="17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</sheetData>
  <conditionalFormatting sqref="F4:F9">
    <cfRule type="containsText" dxfId="3" priority="2" stopIfTrue="1" operator="containsText" text="Priorizar venda!">
      <formula>NOT(ISERROR(SEARCH("Priorizar venda!",F4)))</formula>
    </cfRule>
    <cfRule type="containsText" dxfId="2" priority="3" operator="containsText" text="Solicitar nova compra!">
      <formula>NOT(ISERROR(SEARCH("Solicitar nova compra!",F4)))</formula>
    </cfRule>
  </conditionalFormatting>
  <conditionalFormatting sqref="E4:E9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A000-41D8-485C-97B3-57A15CB5F372}">
  <dimension ref="A1:G18"/>
  <sheetViews>
    <sheetView showGridLines="0" workbookViewId="0">
      <selection activeCell="E5" sqref="E5"/>
    </sheetView>
  </sheetViews>
  <sheetFormatPr defaultColWidth="0" defaultRowHeight="14.4" x14ac:dyDescent="0.3"/>
  <cols>
    <col min="1" max="1" width="40.77734375" customWidth="1"/>
    <col min="2" max="2" width="15.77734375" style="5" customWidth="1"/>
    <col min="3" max="5" width="15.77734375" style="10" customWidth="1"/>
    <col min="6" max="6" width="15.77734375" customWidth="1"/>
    <col min="7" max="7" width="80.77734375" customWidth="1"/>
    <col min="16384" max="16384" width="0" hidden="1" customWidth="1"/>
  </cols>
  <sheetData>
    <row r="1" spans="1:7" s="1" customFormat="1" ht="40.049999999999997" customHeight="1" x14ac:dyDescent="0.3">
      <c r="A1" s="2"/>
      <c r="B1" s="7"/>
      <c r="C1" s="9"/>
      <c r="D1" s="9"/>
      <c r="E1" s="9"/>
      <c r="F1" s="2"/>
      <c r="G1" s="2"/>
    </row>
    <row r="3" spans="1:7" x14ac:dyDescent="0.3">
      <c r="A3" s="6" t="s">
        <v>0</v>
      </c>
      <c r="B3" s="8" t="s">
        <v>9</v>
      </c>
      <c r="C3" s="11" t="s">
        <v>10</v>
      </c>
      <c r="D3" s="12" t="s">
        <v>11</v>
      </c>
      <c r="E3" s="13" t="s">
        <v>4</v>
      </c>
    </row>
    <row r="4" spans="1:7" x14ac:dyDescent="0.3">
      <c r="A4" t="s">
        <v>8</v>
      </c>
      <c r="B4" s="5">
        <v>46054</v>
      </c>
      <c r="C4" s="10">
        <v>30</v>
      </c>
      <c r="D4" s="10">
        <v>5</v>
      </c>
      <c r="E4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25</v>
      </c>
    </row>
    <row r="5" spans="1:7" x14ac:dyDescent="0.3">
      <c r="A5" t="s">
        <v>6</v>
      </c>
      <c r="B5" s="5">
        <v>46055</v>
      </c>
      <c r="C5" s="10">
        <v>20</v>
      </c>
      <c r="D5" s="10">
        <v>10</v>
      </c>
      <c r="E5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10</v>
      </c>
    </row>
    <row r="6" spans="1:7" x14ac:dyDescent="0.3">
      <c r="A6" t="s">
        <v>8</v>
      </c>
      <c r="B6" s="5">
        <v>46055</v>
      </c>
      <c r="C6" s="10">
        <v>10</v>
      </c>
      <c r="D6" s="10">
        <v>8</v>
      </c>
      <c r="E6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27</v>
      </c>
    </row>
    <row r="7" spans="1:7" x14ac:dyDescent="0.3">
      <c r="A7" t="s">
        <v>13</v>
      </c>
      <c r="B7" s="5">
        <v>46055</v>
      </c>
      <c r="C7" s="10">
        <v>10</v>
      </c>
      <c r="E7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10</v>
      </c>
    </row>
    <row r="8" spans="1:7" x14ac:dyDescent="0.3">
      <c r="A8" t="s">
        <v>15</v>
      </c>
      <c r="B8" s="5">
        <v>46055</v>
      </c>
      <c r="C8" s="10">
        <v>150</v>
      </c>
      <c r="E8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150</v>
      </c>
    </row>
    <row r="9" spans="1:7" x14ac:dyDescent="0.3">
      <c r="A9" t="s">
        <v>14</v>
      </c>
      <c r="B9" s="5">
        <v>46055</v>
      </c>
      <c r="C9" s="10">
        <v>100</v>
      </c>
      <c r="E9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100</v>
      </c>
    </row>
    <row r="10" spans="1:7" x14ac:dyDescent="0.3">
      <c r="A10" t="s">
        <v>8</v>
      </c>
      <c r="B10" s="5">
        <v>46056</v>
      </c>
      <c r="C10" s="10">
        <v>10</v>
      </c>
      <c r="E10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37</v>
      </c>
    </row>
    <row r="11" spans="1:7" x14ac:dyDescent="0.3">
      <c r="A11" t="s">
        <v>6</v>
      </c>
      <c r="B11" s="5">
        <v>46056</v>
      </c>
      <c r="C11" s="10">
        <v>20</v>
      </c>
      <c r="E11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30</v>
      </c>
    </row>
    <row r="12" spans="1:7" x14ac:dyDescent="0.3">
      <c r="A12" t="s">
        <v>16</v>
      </c>
      <c r="B12" s="5">
        <v>46056</v>
      </c>
      <c r="C12" s="10">
        <v>50</v>
      </c>
      <c r="E12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25</v>
      </c>
    </row>
    <row r="13" spans="1:7" x14ac:dyDescent="0.3">
      <c r="A13" t="s">
        <v>13</v>
      </c>
      <c r="B13" s="5">
        <v>46056</v>
      </c>
      <c r="C13" s="10">
        <v>10</v>
      </c>
      <c r="E13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61</v>
      </c>
    </row>
    <row r="14" spans="1:7" x14ac:dyDescent="0.3">
      <c r="A14" t="s">
        <v>13</v>
      </c>
      <c r="B14" s="5">
        <v>46056</v>
      </c>
      <c r="D14" s="10">
        <v>19</v>
      </c>
      <c r="E14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61</v>
      </c>
    </row>
    <row r="15" spans="1:7" x14ac:dyDescent="0.3">
      <c r="A15" t="s">
        <v>13</v>
      </c>
      <c r="B15" s="5">
        <v>46056</v>
      </c>
      <c r="C15" s="10">
        <v>60</v>
      </c>
      <c r="E15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61</v>
      </c>
    </row>
    <row r="16" spans="1:7" x14ac:dyDescent="0.3">
      <c r="A16" t="s">
        <v>16</v>
      </c>
      <c r="B16" s="5">
        <v>46056</v>
      </c>
      <c r="D16" s="10">
        <v>25</v>
      </c>
      <c r="E16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25</v>
      </c>
    </row>
    <row r="17" spans="1:5" x14ac:dyDescent="0.3">
      <c r="E17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0</v>
      </c>
    </row>
    <row r="18" spans="1:5" x14ac:dyDescent="0.3">
      <c r="A18" t="s">
        <v>12</v>
      </c>
      <c r="B18">
        <f>SUBTOTAL(103,tbLancamentos[DATA])</f>
        <v>13</v>
      </c>
      <c r="C18" s="10">
        <f>SUBTOTAL(109,tbLancamentos[ENTRADA])</f>
        <v>470</v>
      </c>
      <c r="D18" s="10">
        <f>SUBTOTAL(109,tbLancamentos[SAÍDA])</f>
        <v>67</v>
      </c>
      <c r="E18" s="3">
        <f>SUBTOTAL(103,tbLancamentos[SALDO])</f>
        <v>14</v>
      </c>
    </row>
  </sheetData>
  <conditionalFormatting sqref="E4:E18">
    <cfRule type="cellIs" dxfId="0" priority="1" operator="lessThan">
      <formula>0</formula>
    </cfRule>
  </conditionalFormatting>
  <dataValidations count="1">
    <dataValidation type="list" allowBlank="1" showInputMessage="1" showErrorMessage="1" sqref="A4:A18" xr:uid="{B2969B28-2CC5-46C6-A46B-D706D70526C2}">
      <formula1>ColunaProdutos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Início</vt:lpstr>
      <vt:lpstr>Cadastro</vt:lpstr>
      <vt:lpstr>Lançamentos</vt:lpstr>
      <vt:lpstr>ColunaProdutos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 Silva Santos</dc:creator>
  <cp:lastModifiedBy>Christopher da Silva Santos</cp:lastModifiedBy>
  <dcterms:created xsi:type="dcterms:W3CDTF">2026-01-28T00:49:56Z</dcterms:created>
  <dcterms:modified xsi:type="dcterms:W3CDTF">2026-02-03T13:07:13Z</dcterms:modified>
</cp:coreProperties>
</file>